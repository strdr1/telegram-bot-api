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K/Desktop/"/>
    </mc:Choice>
  </mc:AlternateContent>
  <xr:revisionPtr revIDLastSave="0" documentId="8_{94EA989E-F894-B743-97B1-A4D1E6D65254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Меню для мероприятий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" l="1"/>
  <c r="E71" i="1"/>
  <c r="E87" i="1"/>
  <c r="E86" i="1"/>
  <c r="E85" i="1"/>
  <c r="E84" i="1"/>
  <c r="E78" i="1"/>
  <c r="E77" i="1"/>
  <c r="E69" i="1"/>
  <c r="E68" i="1"/>
  <c r="E67" i="1"/>
  <c r="E66" i="1"/>
  <c r="E65" i="1"/>
  <c r="E61" i="1"/>
  <c r="E60" i="1"/>
  <c r="E59" i="1"/>
  <c r="E57" i="1"/>
  <c r="E56" i="1"/>
  <c r="E55" i="1"/>
  <c r="E54" i="1"/>
  <c r="E53" i="1"/>
  <c r="E80" i="1" s="1"/>
  <c r="E48" i="1"/>
  <c r="E47" i="1"/>
  <c r="E46" i="1"/>
  <c r="E45" i="1"/>
  <c r="E44" i="1"/>
  <c r="E43" i="1"/>
  <c r="E42" i="1"/>
  <c r="E41" i="1"/>
  <c r="E40" i="1"/>
  <c r="E39" i="1"/>
  <c r="E38" i="1"/>
  <c r="E32" i="1"/>
  <c r="E31" i="1"/>
  <c r="E30" i="1"/>
  <c r="E29" i="1"/>
  <c r="E28" i="1"/>
  <c r="E27" i="1"/>
  <c r="E26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8" i="1" l="1"/>
  <c r="E90" i="1" s="1"/>
  <c r="E91" i="1" s="1"/>
</calcChain>
</file>

<file path=xl/sharedStrings.xml><?xml version="1.0" encoding="utf-8"?>
<sst xmlns="http://schemas.openxmlformats.org/spreadsheetml/2006/main" count="100" uniqueCount="93">
  <si>
    <t>Заказ на проведение мероприятия Ресто-бар "Сыр и Вино"</t>
  </si>
  <si>
    <t>Дата мероприятия</t>
  </si>
  <si>
    <t>Заказчик</t>
  </si>
  <si>
    <t>Телефон</t>
  </si>
  <si>
    <t>Количество гостей</t>
  </si>
  <si>
    <t>Блюдо</t>
  </si>
  <si>
    <t>Вес</t>
  </si>
  <si>
    <t>Цена</t>
  </si>
  <si>
    <t xml:space="preserve">Количество </t>
  </si>
  <si>
    <t>Стоимость</t>
  </si>
  <si>
    <t>Канапе и профитроли (заказ от 10 шт, далее кратно 5 шт)</t>
  </si>
  <si>
    <t>Креветка с ананасом</t>
  </si>
  <si>
    <t>Горгонзола, виноград, грецкий орех</t>
  </si>
  <si>
    <t>Цезарь</t>
  </si>
  <si>
    <t>Камамбер  с ягодами</t>
  </si>
  <si>
    <t>Капрезе</t>
  </si>
  <si>
    <t>Профитроль с лососем</t>
  </si>
  <si>
    <t>Профитроль с сырным муссом</t>
  </si>
  <si>
    <t>Профитроль с куриным паштетом</t>
  </si>
  <si>
    <t>Мини круассан с пастрами и овощами</t>
  </si>
  <si>
    <t>Мини круассан с уткой и соусом хойсин</t>
  </si>
  <si>
    <t>Мини круассан с креветкой и кремом из рикотты</t>
  </si>
  <si>
    <t>Тарталетка с икрой (минимум 10 шт, далее кратно 5 шт)</t>
  </si>
  <si>
    <t>Итого по канапе</t>
  </si>
  <si>
    <t>Брускеты (в порции 4 мини брускетты)</t>
  </si>
  <si>
    <t>С вялеными томатами и рикоттой</t>
  </si>
  <si>
    <t>4х30</t>
  </si>
  <si>
    <t>С печеным перцем и сиртаки</t>
  </si>
  <si>
    <t>4х35</t>
  </si>
  <si>
    <t>С грушей горгонзолой и медом</t>
  </si>
  <si>
    <t>С авокадо и томатом</t>
  </si>
  <si>
    <t>4х40</t>
  </si>
  <si>
    <t>С красной рыбой и  страчателлой</t>
  </si>
  <si>
    <t>С песто и индейкой</t>
  </si>
  <si>
    <t>С говядиной и луком конфи</t>
  </si>
  <si>
    <t>Итого по брускеттам</t>
  </si>
  <si>
    <t xml:space="preserve">Салаты </t>
  </si>
  <si>
    <t xml:space="preserve">Капрезе </t>
  </si>
  <si>
    <t>Греческий</t>
  </si>
  <si>
    <t>Оливье с ростбифом</t>
  </si>
  <si>
    <t>Оливье царский с рыбой и икрой</t>
  </si>
  <si>
    <t xml:space="preserve">Микс салатных листьев семенами и маслом </t>
  </si>
  <si>
    <t>Цезарь с пастрами</t>
  </si>
  <si>
    <t>Цезарь с слабосоленой форелью</t>
  </si>
  <si>
    <t>Цезарь с креветками</t>
  </si>
  <si>
    <t>Салат с ростбифом</t>
  </si>
  <si>
    <t>Салат с баклажанами и страчателлой</t>
  </si>
  <si>
    <t>Осенний салат с тыквой и горгондзоллой</t>
  </si>
  <si>
    <t xml:space="preserve">Итого по салатам </t>
  </si>
  <si>
    <t xml:space="preserve">Другие закуски </t>
  </si>
  <si>
    <t xml:space="preserve">Тарелка сырная </t>
  </si>
  <si>
    <t xml:space="preserve">Мясное плато </t>
  </si>
  <si>
    <t>Морское плато</t>
  </si>
  <si>
    <t>Хлебная корзина</t>
  </si>
  <si>
    <t>Горячие закуски</t>
  </si>
  <si>
    <t xml:space="preserve">Баклажаны пармиджано </t>
  </si>
  <si>
    <t>Зеленые мидии под сырной корочкой</t>
  </si>
  <si>
    <t>Шашлычки (вырезка/курица/креветки/рыба)</t>
  </si>
  <si>
    <t>по запросу</t>
  </si>
  <si>
    <t>Горячее</t>
  </si>
  <si>
    <t>Порционное</t>
  </si>
  <si>
    <t>Стейк лосося</t>
  </si>
  <si>
    <t>Тальятта с картофелем</t>
  </si>
  <si>
    <t>Грудка по-милански</t>
  </si>
  <si>
    <t>Утиная грудка с брусничным соусом</t>
  </si>
  <si>
    <t>Дорадо по-средиземноморски</t>
  </si>
  <si>
    <t>Горячее на компанию (8-10 человек)</t>
  </si>
  <si>
    <t>Баранина с тарвами и чесноком (запеченая нога)</t>
  </si>
  <si>
    <t>от 2 кг</t>
  </si>
  <si>
    <t>от 9500</t>
  </si>
  <si>
    <t>от 1,5 кг</t>
  </si>
  <si>
    <t>от 9000</t>
  </si>
  <si>
    <t>Грильятта мясная (Каре ягненка, вырезка говяжья, Куриная грудка, вырезка свиная)</t>
  </si>
  <si>
    <t>от 1,8 кг</t>
  </si>
  <si>
    <t>от 8500</t>
  </si>
  <si>
    <t>Десерты</t>
  </si>
  <si>
    <t>Торт на заказ</t>
  </si>
  <si>
    <t>Итого по кухне</t>
  </si>
  <si>
    <t>Бар</t>
  </si>
  <si>
    <t>Морс ягодный</t>
  </si>
  <si>
    <t>1 л</t>
  </si>
  <si>
    <t>Мохито классический</t>
  </si>
  <si>
    <t>Мохито клубничный</t>
  </si>
  <si>
    <t>Лимонад (лимон/маракуйя/малина/базилик)</t>
  </si>
  <si>
    <t>Итого по бару</t>
  </si>
  <si>
    <t>Всего</t>
  </si>
  <si>
    <t>С хамсой на ржаном хлебе с кремчизом</t>
  </si>
  <si>
    <t>Утка с малиной и ягодным соусом</t>
  </si>
  <si>
    <t>от 3 кг</t>
  </si>
  <si>
    <t>Рибай</t>
  </si>
  <si>
    <t>Брискет</t>
  </si>
  <si>
    <t>Грильятта дэ марэ (Кальмар, лосось, Тигровые креветки, мидии)</t>
  </si>
  <si>
    <t>Обслужвание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</si>
</sst>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scheme val="minor"/>
    </font>
    <font>
      <sz val="14"/>
      <color theme="1"/>
      <name val="Calibri (Основной текст)"/>
      <charset val="204"/>
    </font>
    <font>
      <i/>
      <sz val="14"/>
      <color theme="1"/>
      <name val="Calibri (Основной текст)"/>
      <charset val="204"/>
    </font>
    <font>
      <sz val="14"/>
      <name val="Calibri (Основной текст)"/>
      <charset val="204"/>
    </font>
    <font>
      <b/>
      <sz val="14"/>
      <color theme="1"/>
      <name val="Calibri (Основной текст)"/>
      <charset val="204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4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91"/>
  <sheetViews>
    <sheetView tabSelected="1" zoomScale="94" workbookViewId="0">
      <selection activeCell="F88" sqref="F88"/>
    </sheetView>
  </sheetViews>
  <sheetFormatPr baseColWidth="10" defaultColWidth="63" defaultRowHeight="15" customHeight="1" x14ac:dyDescent="0.25"/>
  <cols>
    <col min="1" max="1" width="63" style="1"/>
    <col min="2" max="2" width="18.33203125" style="1" customWidth="1"/>
    <col min="3" max="3" width="12.6640625" style="1" customWidth="1"/>
    <col min="4" max="4" width="9.83203125" style="1" customWidth="1"/>
    <col min="5" max="5" width="8.33203125" style="1" customWidth="1"/>
    <col min="6" max="16384" width="63" style="1"/>
  </cols>
  <sheetData>
    <row r="1" spans="1:5" ht="19" x14ac:dyDescent="0.25">
      <c r="A1" s="20" t="s">
        <v>0</v>
      </c>
      <c r="B1" s="21"/>
      <c r="C1" s="21"/>
      <c r="D1" s="21"/>
      <c r="E1" s="21"/>
    </row>
    <row r="2" spans="1:5" ht="19" x14ac:dyDescent="0.25">
      <c r="A2" s="2" t="s">
        <v>1</v>
      </c>
      <c r="B2" s="3"/>
      <c r="C2" s="3"/>
    </row>
    <row r="3" spans="1:5" ht="19" x14ac:dyDescent="0.25">
      <c r="A3" s="2" t="s">
        <v>2</v>
      </c>
      <c r="B3" s="2"/>
      <c r="C3" s="2"/>
    </row>
    <row r="4" spans="1:5" ht="19" x14ac:dyDescent="0.25">
      <c r="A4" s="2" t="s">
        <v>3</v>
      </c>
      <c r="B4" s="2"/>
      <c r="C4" s="2"/>
    </row>
    <row r="5" spans="1:5" ht="19" x14ac:dyDescent="0.25">
      <c r="A5" s="2" t="s">
        <v>4</v>
      </c>
      <c r="B5" s="2"/>
      <c r="C5" s="2"/>
    </row>
    <row r="6" spans="1:5" ht="19" x14ac:dyDescent="0.25"/>
    <row r="7" spans="1:5" ht="19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</row>
    <row r="8" spans="1:5" ht="19" x14ac:dyDescent="0.25">
      <c r="A8" s="22" t="s">
        <v>10</v>
      </c>
      <c r="B8" s="18"/>
      <c r="C8" s="18"/>
      <c r="D8" s="18"/>
      <c r="E8" s="19"/>
    </row>
    <row r="9" spans="1:5" ht="19" x14ac:dyDescent="0.25">
      <c r="A9" s="4" t="s">
        <v>11</v>
      </c>
      <c r="B9" s="4">
        <v>40</v>
      </c>
      <c r="C9" s="4">
        <v>170</v>
      </c>
      <c r="D9" s="4"/>
      <c r="E9" s="4">
        <f t="shared" ref="E9:E22" si="0">C9*D9</f>
        <v>0</v>
      </c>
    </row>
    <row r="10" spans="1:5" ht="19" x14ac:dyDescent="0.25">
      <c r="A10" s="4" t="s">
        <v>12</v>
      </c>
      <c r="B10" s="4">
        <v>25</v>
      </c>
      <c r="C10" s="4">
        <v>160</v>
      </c>
      <c r="D10" s="4"/>
      <c r="E10" s="4">
        <f t="shared" si="0"/>
        <v>0</v>
      </c>
    </row>
    <row r="11" spans="1:5" ht="19" x14ac:dyDescent="0.25">
      <c r="A11" s="4" t="s">
        <v>86</v>
      </c>
      <c r="B11" s="4">
        <v>40</v>
      </c>
      <c r="C11" s="4">
        <v>150</v>
      </c>
      <c r="D11" s="4"/>
      <c r="E11" s="4">
        <f t="shared" si="0"/>
        <v>0</v>
      </c>
    </row>
    <row r="12" spans="1:5" ht="19" x14ac:dyDescent="0.25">
      <c r="A12" s="4" t="s">
        <v>13</v>
      </c>
      <c r="B12" s="4">
        <v>30</v>
      </c>
      <c r="C12" s="4">
        <v>130</v>
      </c>
      <c r="D12" s="4"/>
      <c r="E12" s="4">
        <f t="shared" si="0"/>
        <v>0</v>
      </c>
    </row>
    <row r="13" spans="1:5" ht="19" x14ac:dyDescent="0.25">
      <c r="A13" s="2" t="s">
        <v>14</v>
      </c>
      <c r="B13" s="4">
        <v>25</v>
      </c>
      <c r="C13" s="4">
        <v>160</v>
      </c>
      <c r="D13" s="4"/>
      <c r="E13" s="4">
        <f t="shared" si="0"/>
        <v>0</v>
      </c>
    </row>
    <row r="14" spans="1:5" ht="19" x14ac:dyDescent="0.25">
      <c r="A14" s="4" t="s">
        <v>15</v>
      </c>
      <c r="B14" s="4">
        <v>45</v>
      </c>
      <c r="C14" s="4">
        <v>120</v>
      </c>
      <c r="D14" s="5"/>
      <c r="E14" s="4">
        <f t="shared" si="0"/>
        <v>0</v>
      </c>
    </row>
    <row r="15" spans="1:5" ht="19" x14ac:dyDescent="0.25">
      <c r="A15" s="4" t="s">
        <v>87</v>
      </c>
      <c r="B15" s="4">
        <v>30</v>
      </c>
      <c r="C15" s="4">
        <v>170</v>
      </c>
      <c r="D15" s="5"/>
      <c r="E15" s="4">
        <f t="shared" si="0"/>
        <v>0</v>
      </c>
    </row>
    <row r="16" spans="1:5" ht="19" x14ac:dyDescent="0.25">
      <c r="A16" s="4" t="s">
        <v>16</v>
      </c>
      <c r="B16" s="4">
        <v>30</v>
      </c>
      <c r="C16" s="4">
        <v>180</v>
      </c>
      <c r="D16" s="5"/>
      <c r="E16" s="4">
        <f t="shared" si="0"/>
        <v>0</v>
      </c>
    </row>
    <row r="17" spans="1:5" ht="19" x14ac:dyDescent="0.25">
      <c r="A17" s="4" t="s">
        <v>17</v>
      </c>
      <c r="B17" s="4">
        <v>30</v>
      </c>
      <c r="C17" s="4">
        <v>160</v>
      </c>
      <c r="D17" s="5"/>
      <c r="E17" s="4">
        <f t="shared" si="0"/>
        <v>0</v>
      </c>
    </row>
    <row r="18" spans="1:5" ht="19" x14ac:dyDescent="0.25">
      <c r="A18" s="4" t="s">
        <v>18</v>
      </c>
      <c r="B18" s="4">
        <v>30</v>
      </c>
      <c r="C18" s="4">
        <v>170</v>
      </c>
      <c r="D18" s="5"/>
      <c r="E18" s="4">
        <f t="shared" si="0"/>
        <v>0</v>
      </c>
    </row>
    <row r="19" spans="1:5" ht="19" x14ac:dyDescent="0.25">
      <c r="A19" s="4" t="s">
        <v>19</v>
      </c>
      <c r="B19" s="4">
        <v>50</v>
      </c>
      <c r="C19" s="4">
        <v>310</v>
      </c>
      <c r="D19" s="5"/>
      <c r="E19" s="4">
        <f t="shared" si="0"/>
        <v>0</v>
      </c>
    </row>
    <row r="20" spans="1:5" ht="19" x14ac:dyDescent="0.25">
      <c r="A20" s="4" t="s">
        <v>20</v>
      </c>
      <c r="B20" s="4">
        <v>50</v>
      </c>
      <c r="C20" s="4">
        <v>340</v>
      </c>
      <c r="D20" s="5"/>
      <c r="E20" s="4">
        <f t="shared" si="0"/>
        <v>0</v>
      </c>
    </row>
    <row r="21" spans="1:5" ht="19" x14ac:dyDescent="0.25">
      <c r="A21" s="4" t="s">
        <v>21</v>
      </c>
      <c r="B21" s="4">
        <v>45</v>
      </c>
      <c r="C21" s="4">
        <v>350</v>
      </c>
      <c r="D21" s="5"/>
      <c r="E21" s="4">
        <f t="shared" si="0"/>
        <v>0</v>
      </c>
    </row>
    <row r="22" spans="1:5" ht="19" x14ac:dyDescent="0.25">
      <c r="A22" s="4" t="s">
        <v>22</v>
      </c>
      <c r="B22" s="4">
        <v>30</v>
      </c>
      <c r="C22" s="4">
        <v>320</v>
      </c>
      <c r="D22" s="4"/>
      <c r="E22" s="4">
        <f t="shared" si="0"/>
        <v>0</v>
      </c>
    </row>
    <row r="23" spans="1:5" ht="19" x14ac:dyDescent="0.25">
      <c r="A23" s="23" t="s">
        <v>23</v>
      </c>
      <c r="B23" s="18"/>
      <c r="C23" s="19"/>
      <c r="D23" s="6"/>
      <c r="E23" s="6"/>
    </row>
    <row r="24" spans="1:5" ht="19" x14ac:dyDescent="0.25">
      <c r="A24" s="4"/>
      <c r="B24" s="4"/>
      <c r="C24" s="4"/>
      <c r="D24" s="4"/>
      <c r="E24" s="4"/>
    </row>
    <row r="25" spans="1:5" ht="19" x14ac:dyDescent="0.25">
      <c r="A25" s="22" t="s">
        <v>24</v>
      </c>
      <c r="B25" s="18"/>
      <c r="C25" s="18"/>
      <c r="D25" s="18"/>
      <c r="E25" s="19"/>
    </row>
    <row r="26" spans="1:5" ht="19" x14ac:dyDescent="0.25">
      <c r="A26" s="4" t="s">
        <v>25</v>
      </c>
      <c r="B26" s="4" t="s">
        <v>26</v>
      </c>
      <c r="C26" s="4">
        <v>630</v>
      </c>
      <c r="D26" s="4"/>
      <c r="E26" s="4">
        <f t="shared" ref="E26:E32" si="1">C26*D26</f>
        <v>0</v>
      </c>
    </row>
    <row r="27" spans="1:5" ht="19" x14ac:dyDescent="0.25">
      <c r="A27" s="4" t="s">
        <v>27</v>
      </c>
      <c r="B27" s="4" t="s">
        <v>28</v>
      </c>
      <c r="C27" s="4">
        <v>620</v>
      </c>
      <c r="D27" s="4"/>
      <c r="E27" s="4">
        <f t="shared" si="1"/>
        <v>0</v>
      </c>
    </row>
    <row r="28" spans="1:5" ht="19" x14ac:dyDescent="0.25">
      <c r="A28" s="4" t="s">
        <v>29</v>
      </c>
      <c r="B28" s="4" t="s">
        <v>26</v>
      </c>
      <c r="C28" s="4">
        <v>680</v>
      </c>
      <c r="D28" s="4"/>
      <c r="E28" s="4">
        <f t="shared" si="1"/>
        <v>0</v>
      </c>
    </row>
    <row r="29" spans="1:5" ht="19" x14ac:dyDescent="0.25">
      <c r="A29" s="4" t="s">
        <v>30</v>
      </c>
      <c r="B29" s="4" t="s">
        <v>31</v>
      </c>
      <c r="C29" s="4">
        <v>620</v>
      </c>
      <c r="D29" s="4"/>
      <c r="E29" s="4">
        <f t="shared" si="1"/>
        <v>0</v>
      </c>
    </row>
    <row r="30" spans="1:5" ht="19" x14ac:dyDescent="0.25">
      <c r="A30" s="4" t="s">
        <v>32</v>
      </c>
      <c r="B30" s="4" t="s">
        <v>26</v>
      </c>
      <c r="C30" s="4">
        <v>780</v>
      </c>
      <c r="D30" s="4"/>
      <c r="E30" s="4">
        <f t="shared" si="1"/>
        <v>0</v>
      </c>
    </row>
    <row r="31" spans="1:5" ht="19" x14ac:dyDescent="0.25">
      <c r="A31" s="4" t="s">
        <v>33</v>
      </c>
      <c r="B31" s="4" t="s">
        <v>28</v>
      </c>
      <c r="C31" s="4">
        <v>620</v>
      </c>
      <c r="D31" s="4"/>
      <c r="E31" s="4">
        <f t="shared" si="1"/>
        <v>0</v>
      </c>
    </row>
    <row r="32" spans="1:5" ht="19" x14ac:dyDescent="0.25">
      <c r="A32" s="4" t="s">
        <v>34</v>
      </c>
      <c r="B32" s="4" t="s">
        <v>31</v>
      </c>
      <c r="C32" s="4">
        <v>730</v>
      </c>
      <c r="D32" s="4"/>
      <c r="E32" s="4">
        <f t="shared" si="1"/>
        <v>0</v>
      </c>
    </row>
    <row r="34" spans="1:5" ht="19" x14ac:dyDescent="0.25">
      <c r="A34" s="4"/>
      <c r="B34" s="4"/>
      <c r="C34" s="4"/>
      <c r="D34" s="4"/>
      <c r="E34" s="4"/>
    </row>
    <row r="35" spans="1:5" ht="19" x14ac:dyDescent="0.25">
      <c r="A35" s="23" t="s">
        <v>35</v>
      </c>
      <c r="B35" s="18"/>
      <c r="C35" s="19"/>
      <c r="D35" s="7"/>
      <c r="E35" s="8"/>
    </row>
    <row r="36" spans="1:5" ht="19" x14ac:dyDescent="0.25">
      <c r="A36" s="4"/>
      <c r="B36" s="4"/>
      <c r="C36" s="4"/>
      <c r="D36" s="4"/>
      <c r="E36" s="4"/>
    </row>
    <row r="37" spans="1:5" ht="19" x14ac:dyDescent="0.25">
      <c r="A37" s="22" t="s">
        <v>36</v>
      </c>
      <c r="B37" s="18"/>
      <c r="C37" s="18"/>
      <c r="D37" s="18"/>
      <c r="E37" s="19"/>
    </row>
    <row r="38" spans="1:5" ht="19" x14ac:dyDescent="0.25">
      <c r="A38" s="4" t="s">
        <v>37</v>
      </c>
      <c r="B38" s="4">
        <v>300</v>
      </c>
      <c r="C38" s="4">
        <v>730</v>
      </c>
      <c r="D38" s="4"/>
      <c r="E38" s="4">
        <f t="shared" ref="E38:E48" si="2">C38*D38</f>
        <v>0</v>
      </c>
    </row>
    <row r="39" spans="1:5" ht="19" x14ac:dyDescent="0.25">
      <c r="A39" s="4" t="s">
        <v>38</v>
      </c>
      <c r="B39" s="4">
        <v>210</v>
      </c>
      <c r="C39" s="4">
        <v>580</v>
      </c>
      <c r="D39" s="4"/>
      <c r="E39" s="4">
        <f t="shared" si="2"/>
        <v>0</v>
      </c>
    </row>
    <row r="40" spans="1:5" ht="19" x14ac:dyDescent="0.25">
      <c r="A40" s="4" t="s">
        <v>39</v>
      </c>
      <c r="B40" s="4">
        <v>150</v>
      </c>
      <c r="C40" s="4">
        <v>530</v>
      </c>
      <c r="D40" s="4"/>
      <c r="E40" s="4">
        <f t="shared" si="2"/>
        <v>0</v>
      </c>
    </row>
    <row r="41" spans="1:5" ht="19" x14ac:dyDescent="0.25">
      <c r="A41" s="4" t="s">
        <v>40</v>
      </c>
      <c r="B41" s="4">
        <v>150</v>
      </c>
      <c r="C41" s="4">
        <v>630</v>
      </c>
      <c r="D41" s="4"/>
      <c r="E41" s="4">
        <f t="shared" si="2"/>
        <v>0</v>
      </c>
    </row>
    <row r="42" spans="1:5" ht="19" x14ac:dyDescent="0.25">
      <c r="A42" s="4" t="s">
        <v>41</v>
      </c>
      <c r="B42" s="4">
        <v>150</v>
      </c>
      <c r="C42" s="4">
        <v>690</v>
      </c>
      <c r="D42" s="4"/>
      <c r="E42" s="4">
        <f t="shared" si="2"/>
        <v>0</v>
      </c>
    </row>
    <row r="43" spans="1:5" ht="19" x14ac:dyDescent="0.25">
      <c r="A43" s="4" t="s">
        <v>42</v>
      </c>
      <c r="B43" s="4">
        <v>175</v>
      </c>
      <c r="C43" s="4">
        <v>650</v>
      </c>
      <c r="D43" s="4"/>
      <c r="E43" s="4">
        <f t="shared" si="2"/>
        <v>0</v>
      </c>
    </row>
    <row r="44" spans="1:5" ht="19" x14ac:dyDescent="0.25">
      <c r="A44" s="4" t="s">
        <v>43</v>
      </c>
      <c r="B44" s="4">
        <v>200</v>
      </c>
      <c r="C44" s="4">
        <v>730</v>
      </c>
      <c r="D44" s="4"/>
      <c r="E44" s="4">
        <f t="shared" si="2"/>
        <v>0</v>
      </c>
    </row>
    <row r="45" spans="1:5" ht="19" x14ac:dyDescent="0.25">
      <c r="A45" s="4" t="s">
        <v>44</v>
      </c>
      <c r="B45" s="4">
        <v>230</v>
      </c>
      <c r="C45" s="4">
        <v>900</v>
      </c>
      <c r="D45" s="4"/>
      <c r="E45" s="4">
        <f t="shared" si="2"/>
        <v>0</v>
      </c>
    </row>
    <row r="46" spans="1:5" ht="19" x14ac:dyDescent="0.25">
      <c r="A46" s="4" t="s">
        <v>45</v>
      </c>
      <c r="B46" s="4">
        <v>175</v>
      </c>
      <c r="C46" s="4">
        <v>850</v>
      </c>
      <c r="D46" s="4"/>
      <c r="E46" s="4">
        <f t="shared" si="2"/>
        <v>0</v>
      </c>
    </row>
    <row r="47" spans="1:5" ht="19" x14ac:dyDescent="0.25">
      <c r="A47" s="4" t="s">
        <v>46</v>
      </c>
      <c r="B47" s="4">
        <v>230</v>
      </c>
      <c r="C47" s="4">
        <v>570</v>
      </c>
      <c r="D47" s="4"/>
      <c r="E47" s="4">
        <f t="shared" si="2"/>
        <v>0</v>
      </c>
    </row>
    <row r="48" spans="1:5" ht="19" x14ac:dyDescent="0.25">
      <c r="A48" s="4" t="s">
        <v>47</v>
      </c>
      <c r="B48" s="4">
        <v>175</v>
      </c>
      <c r="C48" s="4">
        <v>710</v>
      </c>
      <c r="D48" s="4"/>
      <c r="E48" s="4">
        <f t="shared" si="2"/>
        <v>0</v>
      </c>
    </row>
    <row r="49" spans="1:5" ht="19" x14ac:dyDescent="0.25">
      <c r="A49" s="4"/>
      <c r="B49" s="4"/>
      <c r="C49" s="4"/>
      <c r="D49" s="4"/>
      <c r="E49" s="4"/>
    </row>
    <row r="50" spans="1:5" ht="19" x14ac:dyDescent="0.25">
      <c r="A50" s="23" t="s">
        <v>48</v>
      </c>
      <c r="B50" s="18"/>
      <c r="C50" s="19"/>
      <c r="D50" s="7"/>
      <c r="E50" s="8"/>
    </row>
    <row r="51" spans="1:5" ht="19" x14ac:dyDescent="0.25">
      <c r="A51" s="4"/>
      <c r="B51" s="4"/>
      <c r="C51" s="4"/>
      <c r="D51" s="4"/>
      <c r="E51" s="4"/>
    </row>
    <row r="52" spans="1:5" ht="19" x14ac:dyDescent="0.25">
      <c r="A52" s="22" t="s">
        <v>49</v>
      </c>
      <c r="B52" s="18"/>
      <c r="C52" s="18"/>
      <c r="D52" s="18"/>
      <c r="E52" s="19"/>
    </row>
    <row r="53" spans="1:5" ht="19" x14ac:dyDescent="0.25">
      <c r="A53" s="4" t="s">
        <v>50</v>
      </c>
      <c r="B53" s="4">
        <v>150</v>
      </c>
      <c r="C53" s="4">
        <v>1500</v>
      </c>
      <c r="D53" s="4"/>
      <c r="E53" s="4">
        <f>C53*D53</f>
        <v>0</v>
      </c>
    </row>
    <row r="54" spans="1:5" ht="19" x14ac:dyDescent="0.25">
      <c r="A54" s="4" t="s">
        <v>51</v>
      </c>
      <c r="B54" s="4">
        <v>250</v>
      </c>
      <c r="C54" s="4">
        <v>2100</v>
      </c>
      <c r="D54" s="4"/>
      <c r="E54" s="4">
        <f>C54*D54</f>
        <v>0</v>
      </c>
    </row>
    <row r="55" spans="1:5" ht="19" x14ac:dyDescent="0.25">
      <c r="A55" s="4" t="s">
        <v>52</v>
      </c>
      <c r="B55" s="4">
        <v>300</v>
      </c>
      <c r="C55" s="4">
        <v>2300</v>
      </c>
      <c r="D55" s="4"/>
      <c r="E55" s="4">
        <f>C55*D55</f>
        <v>0</v>
      </c>
    </row>
    <row r="56" spans="1:5" ht="19" x14ac:dyDescent="0.25">
      <c r="A56" s="4" t="s">
        <v>53</v>
      </c>
      <c r="B56" s="4">
        <v>150</v>
      </c>
      <c r="C56" s="4">
        <v>350</v>
      </c>
      <c r="D56" s="4"/>
      <c r="E56" s="4">
        <f>C56*D56</f>
        <v>0</v>
      </c>
    </row>
    <row r="57" spans="1:5" ht="19" x14ac:dyDescent="0.25">
      <c r="A57" s="4"/>
      <c r="B57" s="4"/>
      <c r="C57" s="4"/>
      <c r="D57" s="4"/>
      <c r="E57" s="4">
        <f>C57*D57</f>
        <v>0</v>
      </c>
    </row>
    <row r="58" spans="1:5" ht="19" x14ac:dyDescent="0.25">
      <c r="A58" s="22" t="s">
        <v>54</v>
      </c>
      <c r="B58" s="18"/>
      <c r="C58" s="18"/>
      <c r="D58" s="18"/>
      <c r="E58" s="19"/>
    </row>
    <row r="59" spans="1:5" ht="19" x14ac:dyDescent="0.25">
      <c r="A59" s="4" t="s">
        <v>55</v>
      </c>
      <c r="B59" s="4">
        <v>250</v>
      </c>
      <c r="C59" s="4">
        <v>820</v>
      </c>
      <c r="D59" s="4"/>
      <c r="E59" s="4">
        <f>C59*D59</f>
        <v>0</v>
      </c>
    </row>
    <row r="60" spans="1:5" ht="19" x14ac:dyDescent="0.25">
      <c r="A60" s="4" t="s">
        <v>56</v>
      </c>
      <c r="B60" s="4">
        <v>100</v>
      </c>
      <c r="C60" s="4">
        <v>910</v>
      </c>
      <c r="D60" s="4"/>
      <c r="E60" s="4">
        <f>C60*D60</f>
        <v>0</v>
      </c>
    </row>
    <row r="61" spans="1:5" ht="19" x14ac:dyDescent="0.25">
      <c r="A61" s="4" t="s">
        <v>57</v>
      </c>
      <c r="B61" s="4" t="s">
        <v>58</v>
      </c>
      <c r="C61" s="4"/>
      <c r="D61" s="4"/>
      <c r="E61" s="4">
        <f>C61*D61</f>
        <v>0</v>
      </c>
    </row>
    <row r="62" spans="1:5" ht="19" x14ac:dyDescent="0.25">
      <c r="A62" s="4"/>
      <c r="B62" s="4"/>
      <c r="C62" s="4"/>
      <c r="D62" s="4"/>
      <c r="E62" s="4"/>
    </row>
    <row r="63" spans="1:5" ht="19" x14ac:dyDescent="0.25">
      <c r="A63" s="22" t="s">
        <v>59</v>
      </c>
      <c r="B63" s="18"/>
      <c r="C63" s="18"/>
      <c r="D63" s="18"/>
      <c r="E63" s="19"/>
    </row>
    <row r="64" spans="1:5" ht="19" x14ac:dyDescent="0.25">
      <c r="A64" s="22" t="s">
        <v>60</v>
      </c>
      <c r="B64" s="18"/>
      <c r="C64" s="18"/>
      <c r="D64" s="18"/>
      <c r="E64" s="19"/>
    </row>
    <row r="65" spans="1:5" ht="19" x14ac:dyDescent="0.25">
      <c r="A65" s="4" t="s">
        <v>61</v>
      </c>
      <c r="B65" s="4">
        <v>360</v>
      </c>
      <c r="C65" s="4">
        <v>1500</v>
      </c>
      <c r="D65" s="4"/>
      <c r="E65" s="4">
        <f>C65*D65</f>
        <v>0</v>
      </c>
    </row>
    <row r="66" spans="1:5" ht="19" x14ac:dyDescent="0.25">
      <c r="A66" s="4" t="s">
        <v>62</v>
      </c>
      <c r="B66" s="4">
        <v>390</v>
      </c>
      <c r="C66" s="4">
        <v>1400</v>
      </c>
      <c r="D66" s="4"/>
      <c r="E66" s="4">
        <f>C66*D66</f>
        <v>0</v>
      </c>
    </row>
    <row r="67" spans="1:5" ht="19" x14ac:dyDescent="0.25">
      <c r="A67" s="4" t="s">
        <v>63</v>
      </c>
      <c r="B67" s="4">
        <v>390</v>
      </c>
      <c r="C67" s="4">
        <v>920</v>
      </c>
      <c r="D67" s="4"/>
      <c r="E67" s="4">
        <f>C67*D67</f>
        <v>0</v>
      </c>
    </row>
    <row r="68" spans="1:5" ht="19" x14ac:dyDescent="0.25">
      <c r="A68" s="4" t="s">
        <v>64</v>
      </c>
      <c r="B68" s="4">
        <v>350</v>
      </c>
      <c r="C68" s="4">
        <v>1200</v>
      </c>
      <c r="D68" s="4"/>
      <c r="E68" s="4">
        <f>C68*D68</f>
        <v>0</v>
      </c>
    </row>
    <row r="69" spans="1:5" ht="19" x14ac:dyDescent="0.25">
      <c r="A69" s="2" t="s">
        <v>65</v>
      </c>
      <c r="B69" s="4">
        <v>200</v>
      </c>
      <c r="C69" s="4">
        <v>1500</v>
      </c>
      <c r="D69" s="4"/>
      <c r="E69" s="4">
        <f>C69*D69</f>
        <v>0</v>
      </c>
    </row>
    <row r="70" spans="1:5" ht="19" x14ac:dyDescent="0.25">
      <c r="A70" s="2" t="s">
        <v>90</v>
      </c>
      <c r="B70" s="4">
        <v>200</v>
      </c>
      <c r="C70" s="4">
        <v>2500</v>
      </c>
      <c r="D70" s="4"/>
      <c r="E70" s="4">
        <f>C70*D70</f>
        <v>0</v>
      </c>
    </row>
    <row r="71" spans="1:5" ht="19" x14ac:dyDescent="0.25">
      <c r="A71" s="2" t="s">
        <v>89</v>
      </c>
      <c r="B71" s="4">
        <v>300</v>
      </c>
      <c r="C71" s="4">
        <v>3500</v>
      </c>
      <c r="D71" s="4"/>
      <c r="E71" s="4">
        <f>C71*D71</f>
        <v>0</v>
      </c>
    </row>
    <row r="72" spans="1:5" ht="19" x14ac:dyDescent="0.25">
      <c r="A72" s="17" t="s">
        <v>66</v>
      </c>
      <c r="B72" s="18"/>
      <c r="C72" s="18"/>
      <c r="D72" s="18"/>
      <c r="E72" s="19"/>
    </row>
    <row r="73" spans="1:5" ht="19" x14ac:dyDescent="0.25">
      <c r="A73" s="9" t="s">
        <v>67</v>
      </c>
      <c r="B73" s="4" t="s">
        <v>88</v>
      </c>
      <c r="C73" s="4" t="s">
        <v>69</v>
      </c>
      <c r="D73" s="4"/>
      <c r="E73" s="4"/>
    </row>
    <row r="74" spans="1:5" ht="39" customHeight="1" x14ac:dyDescent="0.25">
      <c r="A74" s="10" t="s">
        <v>91</v>
      </c>
      <c r="B74" s="4" t="s">
        <v>70</v>
      </c>
      <c r="C74" s="4" t="s">
        <v>71</v>
      </c>
      <c r="D74" s="4"/>
      <c r="E74" s="4"/>
    </row>
    <row r="75" spans="1:5" ht="35" customHeight="1" x14ac:dyDescent="0.25">
      <c r="A75" s="10" t="s">
        <v>72</v>
      </c>
      <c r="B75" s="4" t="s">
        <v>73</v>
      </c>
      <c r="C75" s="4" t="s">
        <v>74</v>
      </c>
      <c r="D75" s="4"/>
      <c r="E75" s="4"/>
    </row>
    <row r="76" spans="1:5" ht="19" x14ac:dyDescent="0.25">
      <c r="A76" s="17" t="s">
        <v>75</v>
      </c>
      <c r="B76" s="18"/>
      <c r="C76" s="18"/>
      <c r="D76" s="18"/>
      <c r="E76" s="19"/>
    </row>
    <row r="77" spans="1:5" ht="19" x14ac:dyDescent="0.25">
      <c r="A77" s="4"/>
      <c r="B77" s="4"/>
      <c r="C77" s="4"/>
      <c r="D77" s="4"/>
      <c r="E77" s="4">
        <f>C77*D77</f>
        <v>0</v>
      </c>
    </row>
    <row r="78" spans="1:5" ht="20" x14ac:dyDescent="0.25">
      <c r="A78" s="11" t="s">
        <v>76</v>
      </c>
      <c r="B78" s="12" t="s">
        <v>68</v>
      </c>
      <c r="C78" s="12">
        <v>3500</v>
      </c>
      <c r="D78" s="12"/>
      <c r="E78" s="4">
        <f>C78*D78</f>
        <v>0</v>
      </c>
    </row>
    <row r="79" spans="1:5" ht="19" x14ac:dyDescent="0.25">
      <c r="A79" s="4"/>
      <c r="B79" s="4"/>
      <c r="C79" s="4"/>
      <c r="D79" s="4"/>
      <c r="E79" s="4"/>
    </row>
    <row r="80" spans="1:5" ht="19" x14ac:dyDescent="0.25">
      <c r="A80" s="13" t="s">
        <v>77</v>
      </c>
      <c r="B80" s="14"/>
      <c r="C80" s="14"/>
      <c r="D80" s="14"/>
      <c r="E80" s="14">
        <f>SUM(E23,E35,E50,E62,E53,E54,E55,E56,E57,E59,E60,E61,E65,E66,E67,E68,E69,E70,E71,E73,E74,E75,E77,E79,E78)</f>
        <v>0</v>
      </c>
    </row>
    <row r="83" spans="1:5" ht="19" x14ac:dyDescent="0.25">
      <c r="A83" s="17" t="s">
        <v>78</v>
      </c>
      <c r="B83" s="18"/>
      <c r="C83" s="18"/>
      <c r="D83" s="18"/>
      <c r="E83" s="19"/>
    </row>
    <row r="84" spans="1:5" ht="19" x14ac:dyDescent="0.25">
      <c r="A84" s="4" t="s">
        <v>79</v>
      </c>
      <c r="B84" s="4" t="s">
        <v>80</v>
      </c>
      <c r="C84" s="4">
        <v>550</v>
      </c>
      <c r="D84" s="4"/>
      <c r="E84" s="4">
        <f>C84*D84</f>
        <v>0</v>
      </c>
    </row>
    <row r="85" spans="1:5" ht="19" x14ac:dyDescent="0.25">
      <c r="A85" s="4" t="s">
        <v>81</v>
      </c>
      <c r="B85" s="4" t="s">
        <v>80</v>
      </c>
      <c r="C85" s="4">
        <v>1200</v>
      </c>
      <c r="D85" s="4"/>
      <c r="E85" s="4">
        <f>C85*D85</f>
        <v>0</v>
      </c>
    </row>
    <row r="86" spans="1:5" ht="19" x14ac:dyDescent="0.25">
      <c r="A86" s="4" t="s">
        <v>82</v>
      </c>
      <c r="B86" s="4" t="s">
        <v>80</v>
      </c>
      <c r="C86" s="4">
        <v>1200</v>
      </c>
      <c r="D86" s="4"/>
      <c r="E86" s="4">
        <f>C86*D86</f>
        <v>0</v>
      </c>
    </row>
    <row r="87" spans="1:5" ht="19" x14ac:dyDescent="0.25">
      <c r="A87" s="4" t="s">
        <v>83</v>
      </c>
      <c r="B87" s="4" t="s">
        <v>80</v>
      </c>
      <c r="C87" s="4">
        <v>1300</v>
      </c>
      <c r="D87" s="4"/>
      <c r="E87" s="4">
        <f>C87*D87</f>
        <v>0</v>
      </c>
    </row>
    <row r="88" spans="1:5" ht="19" x14ac:dyDescent="0.25">
      <c r="A88" s="15" t="s">
        <v>84</v>
      </c>
      <c r="B88" s="16"/>
      <c r="C88" s="16"/>
      <c r="D88" s="16"/>
      <c r="E88" s="16">
        <f>SUM(E84:E87)</f>
        <v>0</v>
      </c>
    </row>
    <row r="90" spans="1:5" ht="15" customHeight="1" x14ac:dyDescent="0.25">
      <c r="A90" s="1" t="s">
        <v>92</v>
      </c>
      <c r="E90" s="1">
        <f>(E88+E80)*10%</f>
        <v>0</v>
      </c>
    </row>
    <row r="91" spans="1:5" ht="15" customHeight="1" x14ac:dyDescent="0.25">
      <c r="A91" s="15" t="s">
        <v>85</v>
      </c>
      <c r="B91" s="16"/>
      <c r="C91" s="16"/>
      <c r="D91" s="16"/>
      <c r="E91" s="16">
        <f>SUM(E88,E90,E80)</f>
        <v>0</v>
      </c>
    </row>
  </sheetData>
  <mergeCells count="14">
    <mergeCell ref="A76:E76"/>
    <mergeCell ref="A83:E83"/>
    <mergeCell ref="A1:E1"/>
    <mergeCell ref="A8:E8"/>
    <mergeCell ref="A23:C23"/>
    <mergeCell ref="A25:E25"/>
    <mergeCell ref="A35:C35"/>
    <mergeCell ref="A37:E37"/>
    <mergeCell ref="A50:C50"/>
    <mergeCell ref="A52:E52"/>
    <mergeCell ref="A58:E58"/>
    <mergeCell ref="A63:E63"/>
    <mergeCell ref="A64:E64"/>
    <mergeCell ref="A72:E72"/>
  </mergeCells>
  <printOptions horizontalCentered="1"/>
  <pageMargins left="0.7" right="0.7" top="0.75" bottom="0.75" header="0" footer="0"/>
  <pageSetup paperSize="9" scale="47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Меню для мероприятий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Lyuda</dc:creator>
  <cp:lastModifiedBy>Darya Kompanets</cp:lastModifiedBy>
  <cp:lastPrinted>2025-02-11T12:23:17Z</cp:lastPrinted>
  <dcterms:created xsi:type="dcterms:W3CDTF">2015-06-05T18:19:34Z</dcterms:created>
  <dcterms:modified xsi:type="dcterms:W3CDTF">2025-06-14T13:03:15Z</dcterms:modified>
</cp:coreProperties>
</file>